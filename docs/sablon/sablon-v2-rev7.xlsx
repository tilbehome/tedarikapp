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pariş Listes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<sst xmlns="http://schemas.openxmlformats.org/spreadsheetml/2006/main" count="78" uniqueCount="75">
  <si>
    <t xml:space="preserve">TEDARİK SİPARİŞ LİSTESİ</t>
  </si>
  <si>
    <t xml:space="preserve">BELGE KODU</t>
  </si>
  <si>
    <t xml:space="preserve">OLUŞTURULMA</t>
  </si>
  <si>
    <t xml:space="preserve">KUR (KİLİTLİ)</t>
  </si>
  <si>
    <t xml:space="preserve">Tilbe Home · tilbehome.com · info@tilbehome.com · Eylül 2026 Dönemi · DDP Tedarik · Firma: YOKYOKAVM</t>
  </si>
  <si>
    <t xml:space="preserve">TDK-2026-0034 · Rev A</t>
  </si>
  <si>
    <t xml:space="preserve">20.08.2026 09:41</t>
  </si>
  <si>
    <t xml:space="preserve">¥ 7,0400 · $ 41,5000</t>
  </si>
  <si>
    <t xml:space="preserve">TOPLAM ÜRÜN</t>
  </si>
  <si>
    <t xml:space="preserve">TOPLAM MİKTAR</t>
  </si>
  <si>
    <t xml:space="preserve">MAL BEDELİ (¥)</t>
  </si>
  <si>
    <t xml:space="preserve">MAL BEDELİ (₺)</t>
  </si>
  <si>
    <t xml:space="preserve">DDP TOPLAM (₺ · KDV dahil)</t>
  </si>
  <si>
    <t xml:space="preserve">No</t>
  </si>
  <si>
    <t xml:space="preserve">Görsel</t>
  </si>
  <si>
    <t xml:space="preserve">Ürün Adı</t>
  </si>
  <si>
    <t xml:space="preserve">Ürün Detayları</t>
  </si>
  <si>
    <t xml:space="preserve">Varyasyon</t>
  </si>
  <si>
    <t xml:space="preserve">Kategori</t>
  </si>
  <si>
    <t xml:space="preserve">Kaynak</t>
  </si>
  <si>
    <t xml:space="preserve">Durum</t>
  </si>
  <si>
    <t xml:space="preserve">Not</t>
  </si>
  <si>
    <t xml:space="preserve">Miktar</t>
  </si>
  <si>
    <t xml:space="preserve">Vitrin Fiyatı</t>
  </si>
  <si>
    <t xml:space="preserve">₺ Karşılığı</t>
  </si>
  <si>
    <t xml:space="preserve">DDP $</t>
  </si>
  <si>
    <t xml:space="preserve">DDP ₺</t>
  </si>
  <si>
    <t xml:space="preserve">序号</t>
  </si>
  <si>
    <t xml:space="preserve">图片</t>
  </si>
  <si>
    <t xml:space="preserve">产品名称</t>
  </si>
  <si>
    <t xml:space="preserve">产品详情</t>
  </si>
  <si>
    <t xml:space="preserve">规格</t>
  </si>
  <si>
    <t xml:space="preserve">类目</t>
  </si>
  <si>
    <t xml:space="preserve">来源</t>
  </si>
  <si>
    <t xml:space="preserve">状态</t>
  </si>
  <si>
    <t xml:space="preserve">备注</t>
  </si>
  <si>
    <t xml:space="preserve">数量</t>
  </si>
  <si>
    <t xml:space="preserve">市场价</t>
  </si>
  <si>
    <t xml:space="preserve">里拉</t>
  </si>
  <si>
    <t xml:space="preserve">含税</t>
  </si>
  <si>
    <t xml:space="preserve">Image</t>
  </si>
  <si>
    <t xml:space="preserve">Product name</t>
  </si>
  <si>
    <t xml:space="preserve">Details</t>
  </si>
  <si>
    <t xml:space="preserve">Variant</t>
  </si>
  <si>
    <t xml:space="preserve">Category</t>
  </si>
  <si>
    <t xml:space="preserve">Source</t>
  </si>
  <si>
    <t xml:space="preserve">Status</t>
  </si>
  <si>
    <t xml:space="preserve">Notes</t>
  </si>
  <si>
    <t xml:space="preserve">Qty</t>
  </si>
  <si>
    <t xml:space="preserve">Market</t>
  </si>
  <si>
    <t xml:space="preserve">TRY</t>
  </si>
  <si>
    <t xml:space="preserve">Incl. VAT</t>
  </si>
  <si>
    <t xml:space="preserve">Çift Cidarlı Termos Yemek Kabı 500 ml
双层不锈钢保温饭盒500ml</t>
  </si>
  <si>
    <t xml:space="preserve">Paslanmaz çelik iç hazne · sızdırmaz kapak · kutu baskılı</t>
  </si>
  <si>
    <t xml:space="preserve">Gri · Mavi (2 renk)</t>
  </si>
  <si>
    <t xml:space="preserve">Mutfak</t>
  </si>
  <si>
    <t xml:space="preserve">● Sipariş
Verildi</t>
  </si>
  <si>
    <t xml:space="preserve">Kutu logolu olacak</t>
  </si>
  <si>
    <t xml:space="preserve">Lityum Şarjlı El Aleti Seti 4'lü 21V
锂电四件套电动工具组合</t>
  </si>
  <si>
    <t xml:space="preserve">Matkap + darbeli anahtar + taşlama + kırıcı · 2 batarya</t>
  </si>
  <si>
    <t xml:space="preserve">Ulusal · Avrupa şarj</t>
  </si>
  <si>
    <t xml:space="preserve">Hırdavat</t>
  </si>
  <si>
    <t xml:space="preserve">● Bekleme
Listesinde</t>
  </si>
  <si>
    <t xml:space="preserve">Numune bekleniyor</t>
  </si>
  <si>
    <t xml:space="preserve">Isıtmalı Titreşimli Masaj Kemeri
加热震动按摩腰带</t>
  </si>
  <si>
    <t xml:space="preserve">Bel bölgesi · USB şarj · 3 kademe</t>
  </si>
  <si>
    <t xml:space="preserve">Tek model</t>
  </si>
  <si>
    <t xml:space="preserve">Kişisel Bakım</t>
  </si>
  <si>
    <t xml:space="preserve">● İptal
Edildi</t>
  </si>
  <si>
    <t xml:space="preserve">Vazgeçildi</t>
  </si>
  <si>
    <t xml:space="preserve">GENEL TOPLAM</t>
  </si>
  <si>
    <t xml:space="preserve">Parasal toplamlar üstteki özet kartlarındadır</t>
  </si>
  <si>
    <t xml:space="preserve">Sipariş şartları: Teslim DDP · Kur, liste iletildiğinde kilitlenir · Fiyatlar DDP teslim, KDV DAHİLDİR</t>
  </si>
  <si>
    <t xml:space="preserve">Firma onayı: ________  Tarih: ____ · Hazırlayan: Tilbe Home / Bünyamin TİLBE</t>
  </si>
  <si>
    <t xml:space="preserve">Tedarikapp — Ürün Tedarik Asistanı · tedarikapp.tilbehometoptan.com · Ürün adı ve görsel, kaynak platformdaki ilana köprülüdür (tüm platformlar) · ▶ rozetli görsel = ürün videosu (dijital kopyada) · Sayfa 1/1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</si>
</sst>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¥#,##0.00"/>
    <numFmt numFmtId="167" formatCode="\₺#,##0.00"/>
    <numFmt numFmtId="168" formatCode="\$#,##0.0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9"/>
      <color rgb="FFFFFFFF"/>
      <name val="Calibri"/>
      <family val="0"/>
      <charset val="1"/>
    </font>
    <font>
      <b val="true"/>
      <sz val="8"/>
      <color rgb="FF93C5FD"/>
      <name val="Calibri"/>
      <family val="0"/>
      <charset val="1"/>
    </font>
    <font>
      <sz val="10"/>
      <color rgb="FF93C5FD"/>
      <name val="Calibri"/>
      <family val="0"/>
      <charset val="1"/>
    </font>
    <font>
      <b val="true"/>
      <sz val="9.5"/>
      <color rgb="FFFFFFFF"/>
      <name val="Calibri"/>
      <family val="0"/>
      <charset val="1"/>
    </font>
    <font>
      <b val="true"/>
      <sz val="8"/>
      <color rgb="FF64748B"/>
      <name val="Calibri"/>
      <family val="0"/>
      <charset val="1"/>
    </font>
    <font>
      <b val="true"/>
      <sz val="13"/>
      <color rgb="FF0F2557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7.5"/>
      <color rgb="FF93C5FD"/>
      <name val="Noto Sans CJK SC"/>
      <family val="2"/>
    </font>
    <font>
      <i val="true"/>
      <sz val="7"/>
      <color rgb="FF6B8DC9"/>
      <name val="Calibri"/>
      <family val="0"/>
      <charset val="1"/>
    </font>
    <font>
      <b val="true"/>
      <sz val="10"/>
      <color rgb="FF64748B"/>
      <name val="Calibri"/>
      <family val="0"/>
      <charset val="1"/>
    </font>
    <font>
      <b val="true"/>
      <sz val="10"/>
      <color rgb="FF2563EB"/>
      <name val="Calibri"/>
      <family val="0"/>
      <charset val="1"/>
    </font>
    <font>
      <sz val="9"/>
      <color rgb="FF0F172A"/>
      <name val="Calibri"/>
      <family val="0"/>
      <charset val="1"/>
    </font>
    <font>
      <sz val="9"/>
      <color rgb="FF64748B"/>
      <name val="Calibri"/>
      <family val="0"/>
      <charset val="1"/>
    </font>
    <font>
      <b val="true"/>
      <sz val="9"/>
      <color rgb="FF166534"/>
      <name val="Calibri"/>
      <family val="0"/>
      <charset val="1"/>
    </font>
    <font>
      <i val="true"/>
      <sz val="8.5"/>
      <color rgb="FF64748B"/>
      <name val="Calibri"/>
      <family val="0"/>
      <charset val="1"/>
    </font>
    <font>
      <sz val="9.5"/>
      <color rgb="FF0F172A"/>
      <name val="Calibri"/>
      <family val="0"/>
      <charset val="1"/>
    </font>
    <font>
      <b val="true"/>
      <sz val="9"/>
      <color rgb="FF92400E"/>
      <name val="Calibri"/>
      <family val="0"/>
      <charset val="1"/>
    </font>
    <font>
      <b val="true"/>
      <sz val="9"/>
      <color rgb="FF991B1B"/>
      <name val="Calibri"/>
      <family val="0"/>
      <charset val="1"/>
    </font>
    <font>
      <b val="true"/>
      <sz val="10.5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8.5"/>
      <color rgb="FF93C5FD"/>
      <name val="Calibri"/>
      <family val="0"/>
      <charset val="1"/>
    </font>
    <font>
      <sz val="8.5"/>
      <color rgb="FF0F172A"/>
      <name val="Calibri"/>
      <family val="0"/>
      <charset val="1"/>
    </font>
    <font>
      <b val="true"/>
      <sz val="8.5"/>
      <color rgb="FF0F172A"/>
      <name val="Calibri"/>
      <family val="0"/>
      <charset val="1"/>
    </font>
    <font>
      <i val="true"/>
      <sz val="8"/>
      <color rgb="FF64748B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F2557"/>
        <bgColor rgb="FF16336E"/>
      </patternFill>
    </fill>
    <fill>
      <patternFill patternType="solid">
        <fgColor rgb="FFD4A017"/>
        <bgColor rgb="FFFFCC00"/>
      </patternFill>
    </fill>
    <fill>
      <patternFill patternType="solid">
        <fgColor rgb="FFF8FAFC"/>
        <bgColor rgb="FFFFFFFF"/>
      </patternFill>
    </fill>
    <fill>
      <patternFill patternType="solid">
        <fgColor rgb="FF16336E"/>
        <bgColor rgb="FF0F2557"/>
      </patternFill>
    </fill>
    <fill>
      <patternFill patternType="solid">
        <fgColor rgb="FFFFFFFF"/>
        <bgColor rgb="FFF8FAFC"/>
      </patternFill>
    </fill>
    <fill>
      <patternFill patternType="solid">
        <fgColor rgb="FFDCFCE7"/>
        <bgColor rgb="FFF1F5F9"/>
      </patternFill>
    </fill>
    <fill>
      <patternFill patternType="solid">
        <fgColor rgb="FFF1F5F9"/>
        <bgColor rgb="FFF8FAFC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/>
      <right/>
      <top/>
      <bottom style="thin">
        <color rgb="FFE2E8F0"/>
      </bottom>
      <diagonal/>
    </border>
    <border diagonalUp="false" diagonalDown="false">
      <left style="hair">
        <color rgb="FFD9E2EC"/>
      </left>
      <right/>
      <top/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6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8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2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C0C0C0"/>
      <rgbColor rgb="FF6B8DC9"/>
      <rgbColor rgb="FF9999FF"/>
      <rgbColor rgb="FF993366"/>
      <rgbColor rgb="FFFEF3C7"/>
      <rgbColor rgb="FFDCFCE7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E2E8F0"/>
      <rgbColor rgb="FFF8FAFC"/>
      <rgbColor rgb="FF93C5FD"/>
      <rgbColor rgb="FFFF99CC"/>
      <rgbColor rgb="FFCC99FF"/>
      <rgbColor rgb="FFFEE2E2"/>
      <rgbColor rgb="FF2563EB"/>
      <rgbColor rgb="FF33CCCC"/>
      <rgbColor rgb="FF99CC00"/>
      <rgbColor rgb="FFFFCC00"/>
      <rgbColor rgb="FFD4A017"/>
      <rgbColor rgb="FFFF6600"/>
      <rgbColor rgb="FF64748B"/>
      <rgbColor rgb="FF969696"/>
      <rgbColor rgb="FF16336E"/>
      <rgbColor rgb="FF339966"/>
      <rgbColor rgb="FF0F172A"/>
      <rgbColor rgb="FF333300"/>
      <rgbColor rgb="FF92400E"/>
      <rgbColor rgb="FF993366"/>
      <rgbColor rgb="FF333399"/>
      <rgbColor rgb="FF0F25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3.png"/><Relationship Id="rId6" Type="http://schemas.openxmlformats.org/officeDocument/2006/relationships/image" Target="../media/image5.png"/><Relationship Id="rId7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120240</xdr:colOff>
      <xdr:row>2</xdr:row>
      <xdr:rowOff>56520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41120" y="190440"/>
          <a:ext cx="437760" cy="437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666360</xdr:colOff>
      <xdr:row>10</xdr:row>
      <xdr:rowOff>666360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458640" y="2038320"/>
          <a:ext cx="66636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456840</xdr:colOff>
      <xdr:row>10</xdr:row>
      <xdr:rowOff>190080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8001000" y="2038320"/>
          <a:ext cx="456840" cy="190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666360</xdr:colOff>
      <xdr:row>11</xdr:row>
      <xdr:rowOff>666360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458640" y="2771640"/>
          <a:ext cx="66636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456840</xdr:colOff>
      <xdr:row>11</xdr:row>
      <xdr:rowOff>190080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8001000" y="2771640"/>
          <a:ext cx="456840" cy="190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666360</xdr:colOff>
      <xdr:row>12</xdr:row>
      <xdr:rowOff>666360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458640" y="3505320"/>
          <a:ext cx="66636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456840</xdr:colOff>
      <xdr:row>12</xdr:row>
      <xdr:rowOff>190080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8001000" y="3505320"/>
          <a:ext cx="456840" cy="190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etail.1688.com/offer/833438962156.html" TargetMode="External"/><Relationship Id="rId2" Type="http://schemas.openxmlformats.org/officeDocument/2006/relationships/hyperlink" Target="https://detail.1688.com/offer/833438962156.html" TargetMode="External"/><Relationship Id="rId3" Type="http://schemas.openxmlformats.org/officeDocument/2006/relationships/hyperlink" Target="https://detail.1688.com/offer/900000000000.html" TargetMode="External"/><Relationship Id="rId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O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.5"/>
    <col collapsed="false" customWidth="true" hidden="false" outlineLevel="0" max="3" min="3" style="0" width="11.5"/>
    <col collapsed="false" customWidth="true" hidden="false" outlineLevel="0" max="4" min="4" style="0" width="32"/>
    <col collapsed="false" customWidth="true" hidden="false" outlineLevel="0" max="5" min="5" style="0" width="36.5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0.51"/>
    <col collapsed="false" customWidth="true" hidden="false" outlineLevel="0" max="10" min="10" style="0" width="16"/>
    <col collapsed="false" customWidth="true" hidden="false" outlineLevel="0" max="11" min="11" style="0" width="9"/>
    <col collapsed="false" customWidth="true" hidden="false" outlineLevel="0" max="13" min="12" style="0" width="11"/>
    <col collapsed="false" customWidth="true" hidden="false" outlineLevel="0" max="14" min="14" style="0" width="10.51"/>
    <col collapsed="false" customWidth="true" hidden="false" outlineLevel="0" max="15" min="15" style="0" width="11.5"/>
  </cols>
  <sheetData>
    <row r="2" customFormat="false" ht="30" hidden="false" customHeight="true" outlineLevel="0" collapsed="false">
      <c r="B2" s="1"/>
      <c r="C2" s="1"/>
      <c r="D2" s="2" t="s">
        <v>0</v>
      </c>
      <c r="E2" s="2"/>
      <c r="F2" s="2"/>
      <c r="G2" s="2"/>
      <c r="H2" s="2"/>
      <c r="I2" s="3" t="s">
        <v>1</v>
      </c>
      <c r="J2" s="3"/>
      <c r="K2" s="3" t="s">
        <v>2</v>
      </c>
      <c r="L2" s="3"/>
      <c r="M2" s="3" t="s">
        <v>3</v>
      </c>
      <c r="N2" s="3"/>
      <c r="O2" s="1"/>
    </row>
    <row r="3" customFormat="false" ht="30" hidden="false" customHeight="true" outlineLevel="0" collapsed="false">
      <c r="B3" s="1"/>
      <c r="C3" s="1"/>
      <c r="D3" s="4" t="s">
        <v>4</v>
      </c>
      <c r="E3" s="4"/>
      <c r="F3" s="4"/>
      <c r="G3" s="4"/>
      <c r="H3" s="4"/>
      <c r="I3" s="5" t="s">
        <v>5</v>
      </c>
      <c r="J3" s="5"/>
      <c r="K3" s="5" t="s">
        <v>6</v>
      </c>
      <c r="L3" s="5"/>
      <c r="M3" s="5" t="s">
        <v>7</v>
      </c>
      <c r="N3" s="5"/>
      <c r="O3" s="1"/>
    </row>
    <row r="4" customFormat="false" ht="3" hidden="false" customHeight="true" outlineLevel="0" collapsed="false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customFormat="false" ht="6" hidden="false" customHeight="true" outlineLevel="0" collapsed="false"/>
    <row r="6" customFormat="false" ht="15" hidden="false" customHeight="true" outlineLevel="0" collapsed="false">
      <c r="B6" s="7" t="s">
        <v>8</v>
      </c>
      <c r="C6" s="7"/>
      <c r="D6" s="7"/>
      <c r="E6" s="7" t="s">
        <v>9</v>
      </c>
      <c r="F6" s="7"/>
      <c r="G6" s="7"/>
      <c r="H6" s="7" t="s">
        <v>10</v>
      </c>
      <c r="I6" s="7"/>
      <c r="J6" s="7"/>
      <c r="K6" s="7" t="s">
        <v>11</v>
      </c>
      <c r="L6" s="7"/>
      <c r="M6" s="7" t="s">
        <v>12</v>
      </c>
      <c r="N6" s="7"/>
      <c r="O6" s="7"/>
    </row>
    <row r="7" customFormat="false" ht="24" hidden="false" customHeight="true" outlineLevel="0" collapsed="false">
      <c r="B7" s="8" t="n">
        <f aca="false">COUNTA(D11:D13)</f>
        <v>3</v>
      </c>
      <c r="C7" s="8"/>
      <c r="D7" s="8"/>
      <c r="E7" s="8" t="n">
        <f aca="false">SUM(K11:K13)</f>
        <v>288</v>
      </c>
      <c r="F7" s="8"/>
      <c r="G7" s="8"/>
      <c r="H7" s="9" t="n">
        <f aca="false">SUMPRODUCT(K11:K13,L11:L13)</f>
        <v>52800</v>
      </c>
      <c r="I7" s="9"/>
      <c r="J7" s="9"/>
      <c r="K7" s="10" t="n">
        <f aca="false">SUMPRODUCT(K11:K13,M11:M13)</f>
        <v>371712</v>
      </c>
      <c r="L7" s="10"/>
      <c r="M7" s="10" t="n">
        <f aca="false">SUMPRODUCT(K11:K13,O11:O13)</f>
        <v>0</v>
      </c>
      <c r="N7" s="10"/>
      <c r="O7" s="10"/>
    </row>
    <row r="8" customFormat="false" ht="15" hidden="false" customHeight="true" outlineLevel="0" collapsed="false">
      <c r="B8" s="11" t="s">
        <v>13</v>
      </c>
      <c r="C8" s="11" t="s">
        <v>14</v>
      </c>
      <c r="D8" s="11" t="s">
        <v>15</v>
      </c>
      <c r="E8" s="11" t="s">
        <v>16</v>
      </c>
      <c r="F8" s="11" t="s">
        <v>17</v>
      </c>
      <c r="G8" s="11" t="s">
        <v>18</v>
      </c>
      <c r="H8" s="11" t="s">
        <v>19</v>
      </c>
      <c r="I8" s="11" t="s">
        <v>20</v>
      </c>
      <c r="J8" s="11" t="s">
        <v>21</v>
      </c>
      <c r="K8" s="11" t="s">
        <v>22</v>
      </c>
      <c r="L8" s="11" t="s">
        <v>23</v>
      </c>
      <c r="M8" s="11" t="s">
        <v>24</v>
      </c>
      <c r="N8" s="11" t="s">
        <v>25</v>
      </c>
      <c r="O8" s="11" t="s">
        <v>26</v>
      </c>
    </row>
    <row r="9" customFormat="false" ht="12" hidden="false" customHeight="true" outlineLevel="0" collapsed="false">
      <c r="B9" s="12" t="s">
        <v>27</v>
      </c>
      <c r="C9" s="12" t="s">
        <v>28</v>
      </c>
      <c r="D9" s="12" t="s">
        <v>29</v>
      </c>
      <c r="E9" s="12" t="s">
        <v>30</v>
      </c>
      <c r="F9" s="12" t="s">
        <v>31</v>
      </c>
      <c r="G9" s="12" t="s">
        <v>32</v>
      </c>
      <c r="H9" s="12" t="s">
        <v>33</v>
      </c>
      <c r="I9" s="12" t="s">
        <v>34</v>
      </c>
      <c r="J9" s="12" t="s">
        <v>35</v>
      </c>
      <c r="K9" s="12" t="s">
        <v>36</v>
      </c>
      <c r="L9" s="12" t="s">
        <v>37</v>
      </c>
      <c r="M9" s="12" t="s">
        <v>38</v>
      </c>
      <c r="N9" s="12" t="s">
        <v>39</v>
      </c>
      <c r="O9" s="12" t="s">
        <v>39</v>
      </c>
    </row>
    <row r="10" customFormat="false" ht="10.5" hidden="false" customHeight="true" outlineLevel="0" collapsed="false">
      <c r="B10" s="13" t="s">
        <v>13</v>
      </c>
      <c r="C10" s="13" t="s">
        <v>40</v>
      </c>
      <c r="D10" s="13" t="s">
        <v>41</v>
      </c>
      <c r="E10" s="13" t="s">
        <v>42</v>
      </c>
      <c r="F10" s="13" t="s">
        <v>43</v>
      </c>
      <c r="G10" s="13" t="s">
        <v>44</v>
      </c>
      <c r="H10" s="13" t="s">
        <v>45</v>
      </c>
      <c r="I10" s="13" t="s">
        <v>46</v>
      </c>
      <c r="J10" s="13" t="s">
        <v>47</v>
      </c>
      <c r="K10" s="13" t="s">
        <v>48</v>
      </c>
      <c r="L10" s="13" t="s">
        <v>49</v>
      </c>
      <c r="M10" s="13" t="s">
        <v>50</v>
      </c>
      <c r="N10" s="13" t="s">
        <v>51</v>
      </c>
      <c r="O10" s="13" t="s">
        <v>51</v>
      </c>
    </row>
    <row r="11" customFormat="false" ht="57.75" hidden="false" customHeight="true" outlineLevel="0" collapsed="false">
      <c r="B11" s="14" t="n">
        <v>1</v>
      </c>
      <c r="C11" s="15"/>
      <c r="D11" s="16" t="s">
        <v>52</v>
      </c>
      <c r="E11" s="17" t="s">
        <v>53</v>
      </c>
      <c r="F11" s="18" t="s">
        <v>54</v>
      </c>
      <c r="G11" s="19" t="s">
        <v>55</v>
      </c>
      <c r="H11" s="15"/>
      <c r="I11" s="20" t="s">
        <v>56</v>
      </c>
      <c r="J11" s="21" t="s">
        <v>57</v>
      </c>
      <c r="K11" s="22" t="n">
        <v>240</v>
      </c>
      <c r="L11" s="23" t="n">
        <v>12</v>
      </c>
      <c r="M11" s="24" t="n">
        <f aca="false">L11*7.04</f>
        <v>84.48</v>
      </c>
      <c r="N11" s="25" t="n">
        <v>0</v>
      </c>
      <c r="O11" s="24" t="n">
        <f aca="false">N11*41.5</f>
        <v>0</v>
      </c>
    </row>
    <row r="12" customFormat="false" ht="57.75" hidden="false" customHeight="true" outlineLevel="0" collapsed="false">
      <c r="B12" s="26" t="n">
        <v>2</v>
      </c>
      <c r="C12" s="27"/>
      <c r="D12" s="28" t="s">
        <v>58</v>
      </c>
      <c r="E12" s="29" t="s">
        <v>59</v>
      </c>
      <c r="F12" s="30" t="s">
        <v>60</v>
      </c>
      <c r="G12" s="31" t="s">
        <v>61</v>
      </c>
      <c r="H12" s="27"/>
      <c r="I12" s="32" t="s">
        <v>62</v>
      </c>
      <c r="J12" s="33" t="s">
        <v>63</v>
      </c>
      <c r="K12" s="34" t="n">
        <v>48</v>
      </c>
      <c r="L12" s="35" t="n">
        <v>1040</v>
      </c>
      <c r="M12" s="36" t="n">
        <f aca="false">L12*7.04</f>
        <v>7321.6</v>
      </c>
      <c r="N12" s="37" t="n">
        <v>0</v>
      </c>
      <c r="O12" s="36" t="n">
        <f aca="false">N12*41.5</f>
        <v>0</v>
      </c>
    </row>
    <row r="13" customFormat="false" ht="57.75" hidden="false" customHeight="true" outlineLevel="0" collapsed="false">
      <c r="B13" s="14" t="n">
        <v>3</v>
      </c>
      <c r="C13" s="15"/>
      <c r="D13" s="16" t="s">
        <v>64</v>
      </c>
      <c r="E13" s="17" t="s">
        <v>65</v>
      </c>
      <c r="F13" s="18" t="s">
        <v>66</v>
      </c>
      <c r="G13" s="19" t="s">
        <v>67</v>
      </c>
      <c r="H13" s="15"/>
      <c r="I13" s="38" t="s">
        <v>68</v>
      </c>
      <c r="J13" s="21" t="s">
        <v>69</v>
      </c>
      <c r="K13" s="22" t="n">
        <v>0</v>
      </c>
      <c r="L13" s="23" t="n">
        <v>22</v>
      </c>
      <c r="M13" s="24" t="n">
        <f aca="false">L13*7.04</f>
        <v>154.88</v>
      </c>
      <c r="N13" s="25" t="n">
        <v>0</v>
      </c>
      <c r="O13" s="24" t="n">
        <f aca="false">N13*41.5</f>
        <v>0</v>
      </c>
    </row>
    <row r="14" customFormat="false" ht="24" hidden="false" customHeight="true" outlineLevel="0" collapsed="false">
      <c r="B14" s="39" t="s">
        <v>70</v>
      </c>
      <c r="C14" s="39"/>
      <c r="D14" s="39"/>
      <c r="E14" s="39"/>
      <c r="F14" s="39"/>
      <c r="G14" s="39"/>
      <c r="H14" s="39"/>
      <c r="I14" s="39"/>
      <c r="J14" s="39"/>
      <c r="K14" s="40" t="n">
        <f aca="false">SUM(K11:K13)</f>
        <v>288</v>
      </c>
      <c r="L14" s="41" t="s">
        <v>71</v>
      </c>
      <c r="M14" s="41"/>
      <c r="N14" s="41"/>
      <c r="O14" s="41"/>
    </row>
    <row r="15" customFormat="false" ht="2.25" hidden="false" customHeight="true" outlineLevel="0" collapsed="false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customFormat="false" ht="15" hidden="false" customHeight="false" outlineLevel="0" collapsed="false">
      <c r="B16" s="42" t="s">
        <v>72</v>
      </c>
      <c r="C16" s="42"/>
      <c r="D16" s="42"/>
      <c r="E16" s="42"/>
      <c r="F16" s="42"/>
      <c r="G16" s="42"/>
      <c r="H16" s="42"/>
      <c r="I16" s="42"/>
      <c r="J16" s="43" t="s">
        <v>73</v>
      </c>
      <c r="K16" s="43"/>
      <c r="L16" s="43"/>
      <c r="M16" s="43"/>
      <c r="N16" s="43"/>
      <c r="O16" s="43"/>
    </row>
    <row r="17" customFormat="false" ht="15" hidden="false" customHeight="false" outlineLevel="0" collapsed="false">
      <c r="B17" s="44" t="s">
        <v>74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</row>
  </sheetData>
  <mergeCells count="23">
    <mergeCell ref="D2:H2"/>
    <mergeCell ref="I2:J2"/>
    <mergeCell ref="K2:L2"/>
    <mergeCell ref="M2:N2"/>
    <mergeCell ref="D3:H3"/>
    <mergeCell ref="I3:J3"/>
    <mergeCell ref="K3:L3"/>
    <mergeCell ref="M3:N3"/>
    <mergeCell ref="B6:D6"/>
    <mergeCell ref="E6:G6"/>
    <mergeCell ref="H6:J6"/>
    <mergeCell ref="K6:L6"/>
    <mergeCell ref="M6:O6"/>
    <mergeCell ref="B7:D7"/>
    <mergeCell ref="E7:G7"/>
    <mergeCell ref="H7:J7"/>
    <mergeCell ref="K7:L7"/>
    <mergeCell ref="M7:O7"/>
    <mergeCell ref="B14:J14"/>
    <mergeCell ref="L14:O14"/>
    <mergeCell ref="B16:I16"/>
    <mergeCell ref="J16:O16"/>
    <mergeCell ref="B17:O17"/>
  </mergeCells>
  <hyperlinks>
    <hyperlink ref="D11" r:id="rId1" display="Çift Cidarlı Termos Yemek Kabı 500 ml&#10;双层不锈钢保温饭盒500ml"/>
    <hyperlink ref="D12" r:id="rId2" display="Lityum Şarjlı El Aleti Seti 4'lü 21V&#10;锂电四件套电动工具组合"/>
    <hyperlink ref="D13" r:id="rId3" display="Isıtmalı Titreşimli Masaj Kemeri&#10;加热震动按摩腰带"/>
  </hyperlink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2026-08-19T17:48:38Z</dcterms:created>
  <dc:creator>openpyxl</dc:creator>
  <dc:description/>
  <dc:language>en-US</dc:language>
  <cp:lastModifiedBy/>
  <dcterms:modified xsi:type="dcterms:W3CDTF">2026-08-19T17:48:38Z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